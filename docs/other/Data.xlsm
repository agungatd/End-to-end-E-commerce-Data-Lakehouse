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\home\agung_msbu\personal\projects\End-to-end-E-commerce-Data-Lakehouse\docs\other\"/>
    </mc:Choice>
  </mc:AlternateContent>
  <xr:revisionPtr revIDLastSave="0" documentId="13_ncr:1_{CECBB44C-1DD5-49DB-8ECD-4F88B41B1DE0}" xr6:coauthVersionLast="47" xr6:coauthVersionMax="47" xr10:uidLastSave="{00000000-0000-0000-0000-000000000000}"/>
  <bookViews>
    <workbookView xWindow="-110" yWindow="-110" windowWidth="19420" windowHeight="10300" firstSheet="2" activeTab="2" xr2:uid="{95AD2D24-1A5A-47F2-9E4D-EBABF5531EF0}"/>
  </bookViews>
  <sheets>
    <sheet name="Tables" sheetId="1" r:id="rId1"/>
    <sheet name="Metrics" sheetId="2" r:id="rId2"/>
    <sheet name="Orders" sheetId="3" r:id="rId3"/>
    <sheet name="Order_Items" sheetId="4" r:id="rId4"/>
    <sheet name="Customers" sheetId="5" r:id="rId5"/>
    <sheet name="Customer Acquisition Channels" sheetId="6" r:id="rId6"/>
    <sheet name="Products" sheetId="7" r:id="rId7"/>
    <sheet name="Product Availability Logs" sheetId="10" r:id="rId8"/>
    <sheet name="Product Categories" sheetId="8" r:id="rId9"/>
    <sheet name="Inventory" sheetId="9" r:id="rId10"/>
    <sheet name="Marketing Expenses" sheetId="11" r:id="rId11"/>
    <sheet name="Marketing Campaigns" sheetId="12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2" l="1"/>
  <c r="I4" i="12"/>
  <c r="I5" i="12"/>
  <c r="I6" i="12"/>
  <c r="I7" i="12"/>
  <c r="I8" i="12"/>
  <c r="I9" i="12"/>
  <c r="I10" i="12"/>
  <c r="I11" i="12"/>
  <c r="I2" i="12"/>
  <c r="D3" i="5"/>
  <c r="D4" i="5"/>
  <c r="D5" i="5"/>
  <c r="D6" i="5"/>
  <c r="D7" i="5"/>
  <c r="D8" i="5"/>
  <c r="D9" i="5"/>
  <c r="D10" i="5"/>
  <c r="D11" i="5"/>
  <c r="D2" i="5"/>
</calcChain>
</file>

<file path=xl/sharedStrings.xml><?xml version="1.0" encoding="utf-8"?>
<sst xmlns="http://schemas.openxmlformats.org/spreadsheetml/2006/main" count="319" uniqueCount="219">
  <si>
    <t>No</t>
  </si>
  <si>
    <t>table_name</t>
  </si>
  <si>
    <t>orders</t>
  </si>
  <si>
    <t>order_items</t>
  </si>
  <si>
    <t>products</t>
  </si>
  <si>
    <t>inventory</t>
  </si>
  <si>
    <t>marketing_expenses</t>
  </si>
  <si>
    <t>customers</t>
  </si>
  <si>
    <t>website_traffic</t>
  </si>
  <si>
    <t>cart_events</t>
  </si>
  <si>
    <t>product_categories</t>
  </si>
  <si>
    <t>product_availability_logs</t>
  </si>
  <si>
    <t>marketing_campaigns</t>
  </si>
  <si>
    <t>customer_acquisition_channels</t>
  </si>
  <si>
    <t>database_type</t>
  </si>
  <si>
    <t>rdbms</t>
  </si>
  <si>
    <t>shipping_details</t>
  </si>
  <si>
    <t>payments</t>
  </si>
  <si>
    <t>nosql</t>
  </si>
  <si>
    <t>no</t>
  </si>
  <si>
    <t>name</t>
  </si>
  <si>
    <t>update_type</t>
  </si>
  <si>
    <t>frequency</t>
  </si>
  <si>
    <t>chart_type</t>
  </si>
  <si>
    <t>category</t>
  </si>
  <si>
    <t>Total Revenue</t>
  </si>
  <si>
    <t>Revenue</t>
  </si>
  <si>
    <t>Average Order Value (AOV)</t>
  </si>
  <si>
    <t>Gross Profit Margin</t>
  </si>
  <si>
    <t>Customer</t>
  </si>
  <si>
    <t>Customer Acquisition Cost (CAC)</t>
  </si>
  <si>
    <t>Customer Lifetime Value (CLV)</t>
  </si>
  <si>
    <t>Retention Rate</t>
  </si>
  <si>
    <t>Sales</t>
  </si>
  <si>
    <t>Conversion Rate</t>
  </si>
  <si>
    <t>Cart Abandonment Rate</t>
  </si>
  <si>
    <t>Product Category Performance</t>
  </si>
  <si>
    <t>Inventory and Supply Chain</t>
  </si>
  <si>
    <t>Inventory Turnover Rate</t>
  </si>
  <si>
    <t>Stock-out Rate</t>
  </si>
  <si>
    <t>Marketing and Promotional</t>
  </si>
  <si>
    <t>Promotional Campaign Effectiveness</t>
  </si>
  <si>
    <t>Channel Performance</t>
  </si>
  <si>
    <t>Real-time</t>
  </si>
  <si>
    <t>Batch</t>
  </si>
  <si>
    <t>daily</t>
  </si>
  <si>
    <t>Line</t>
  </si>
  <si>
    <t>Bar</t>
  </si>
  <si>
    <t>Stacked Area</t>
  </si>
  <si>
    <t>Line with trend</t>
  </si>
  <si>
    <t>monthly</t>
  </si>
  <si>
    <t>Gauge</t>
  </si>
  <si>
    <t>Funnel</t>
  </si>
  <si>
    <t>weekly</t>
  </si>
  <si>
    <t>periodically</t>
  </si>
  <si>
    <t>Grouped Bar</t>
  </si>
  <si>
    <t>Pie or Horizontal Bar</t>
  </si>
  <si>
    <t>Scatter Plot;Histogram</t>
  </si>
  <si>
    <t>Treemap;Stacked Bar</t>
  </si>
  <si>
    <t>Stacked Column</t>
  </si>
  <si>
    <t>weekly,monthly</t>
  </si>
  <si>
    <t>daily,weekly</t>
  </si>
  <si>
    <t>order_id</t>
  </si>
  <si>
    <t>customer_id</t>
  </si>
  <si>
    <t>order_date</t>
  </si>
  <si>
    <t>order_status</t>
  </si>
  <si>
    <t>total_amount</t>
  </si>
  <si>
    <t>payment_method</t>
  </si>
  <si>
    <t>order_item_id</t>
  </si>
  <si>
    <t>product_id</t>
  </si>
  <si>
    <t>quantity</t>
  </si>
  <si>
    <t>price</t>
  </si>
  <si>
    <t>email</t>
  </si>
  <si>
    <t>phone</t>
  </si>
  <si>
    <t>registration_date</t>
  </si>
  <si>
    <t>acquisition_channel_id</t>
  </si>
  <si>
    <t>channel_id</t>
  </si>
  <si>
    <t>channel_name</t>
  </si>
  <si>
    <t>description</t>
  </si>
  <si>
    <t>Organic Search</t>
  </si>
  <si>
    <t>Paid Search</t>
  </si>
  <si>
    <t>Organic Social Media</t>
  </si>
  <si>
    <t>Paid Social Media</t>
  </si>
  <si>
    <t>Email</t>
  </si>
  <si>
    <t>Refferals</t>
  </si>
  <si>
    <t>Events</t>
  </si>
  <si>
    <t>Traditional Ad</t>
  </si>
  <si>
    <t>Organic search is all about showing up on search engine results pages. Leverage using SEO</t>
  </si>
  <si>
    <t>pay-per-click, is advertising on search engines. Plus, with platforms like Google Ads, we can place ads directly in search results and even on partner websites.</t>
  </si>
  <si>
    <t>for boosting brand awareness, shaping company’s personality, and sharing content published in social media, like blog posts or videos.</t>
  </si>
  <si>
    <t>For example, sponsored posts on Facebook, X, or Instagram to get content seen by more people (targeted audiences).</t>
  </si>
  <si>
    <t>Email marketing, Whether it’s a birthday wish or a valuable promo, email is a great way to connect with our audience. It’s a direct line to their inbox, bypassing the noise of social media and search engines.</t>
  </si>
  <si>
    <t>Referral marketing leverages the trust of personal recommendations to drive new customer acquisition.</t>
  </si>
  <si>
    <t>conferences, webinars, and trade shows to connect with potential customers.</t>
  </si>
  <si>
    <t>Search</t>
  </si>
  <si>
    <t>Social Media</t>
  </si>
  <si>
    <t>Massaging</t>
  </si>
  <si>
    <t>TV</t>
  </si>
  <si>
    <t>Radio</t>
  </si>
  <si>
    <t>Print Media</t>
  </si>
  <si>
    <t>Conferences</t>
  </si>
  <si>
    <t>Webminars</t>
  </si>
  <si>
    <t>Whatsapp</t>
  </si>
  <si>
    <t>direct marketing</t>
  </si>
  <si>
    <t>John Doe</t>
  </si>
  <si>
    <t>Jane Doe</t>
  </si>
  <si>
    <t>Elon Musk</t>
  </si>
  <si>
    <t>Bill Gates</t>
  </si>
  <si>
    <t>Eleanor Rigby</t>
  </si>
  <si>
    <t>Muhammad Abdullah</t>
  </si>
  <si>
    <t>Eiichiro Oda</t>
  </si>
  <si>
    <t>Wang Yichen</t>
  </si>
  <si>
    <t>Sanjaya Putra</t>
  </si>
  <si>
    <t>Gender</t>
  </si>
  <si>
    <t>Daran Tasha</t>
  </si>
  <si>
    <t>M</t>
  </si>
  <si>
    <t>F</t>
  </si>
  <si>
    <t>USA</t>
  </si>
  <si>
    <t>country</t>
  </si>
  <si>
    <t>SAU</t>
  </si>
  <si>
    <t>GBR</t>
  </si>
  <si>
    <t>JPN</t>
  </si>
  <si>
    <t>CHN</t>
  </si>
  <si>
    <t>IDN</t>
  </si>
  <si>
    <t>RUS</t>
  </si>
  <si>
    <t>+11239879877</t>
  </si>
  <si>
    <t>+11239879871</t>
  </si>
  <si>
    <t>+11239879872</t>
  </si>
  <si>
    <t>+11239879873</t>
  </si>
  <si>
    <t>+441234567891</t>
  </si>
  <si>
    <t>+966123456789</t>
  </si>
  <si>
    <t>+81123456789</t>
  </si>
  <si>
    <t>+86123456789</t>
  </si>
  <si>
    <t>+628123456789</t>
  </si>
  <si>
    <t>+7112323456789</t>
  </si>
  <si>
    <t>1987-08-17T07:16:37</t>
  </si>
  <si>
    <t>2004-07-31T00:21:00</t>
  </si>
  <si>
    <t>1987-01-06T09:46:43</t>
  </si>
  <si>
    <t>2006-04-27T16:26:29</t>
  </si>
  <si>
    <t>2000-12-06T18:34:50</t>
  </si>
  <si>
    <t>1964-10-01T23:00:14</t>
  </si>
  <si>
    <t>2000-06-29T23:04:31</t>
  </si>
  <si>
    <t>1974-07-06T23:50:55</t>
  </si>
  <si>
    <t>2009-12-17T18:04:12</t>
  </si>
  <si>
    <t>1969-02-11T02:23:48</t>
  </si>
  <si>
    <t>category_id</t>
  </si>
  <si>
    <t>created_at</t>
  </si>
  <si>
    <t>updated_at</t>
  </si>
  <si>
    <t>category_name</t>
  </si>
  <si>
    <t>parent_category_id</t>
  </si>
  <si>
    <t>inventory_id</t>
  </si>
  <si>
    <t>warehouse_location</t>
  </si>
  <si>
    <t>log_id</t>
  </si>
  <si>
    <t>status</t>
  </si>
  <si>
    <t>timestamp</t>
  </si>
  <si>
    <t>expense_id</t>
  </si>
  <si>
    <t>campaign_id</t>
  </si>
  <si>
    <t>amount</t>
  </si>
  <si>
    <t>expense_date</t>
  </si>
  <si>
    <t>campaign_name</t>
  </si>
  <si>
    <t>start_date</t>
  </si>
  <si>
    <t>end_date</t>
  </si>
  <si>
    <t>budget</t>
  </si>
  <si>
    <t>target_audience</t>
  </si>
  <si>
    <t>tables</t>
  </si>
  <si>
    <t>orders;order_items</t>
  </si>
  <si>
    <t>orders;products;inventory</t>
  </si>
  <si>
    <t>marketing_expenses;customers</t>
  </si>
  <si>
    <t>customers;orders</t>
  </si>
  <si>
    <t>website_traffic;orders</t>
  </si>
  <si>
    <t>cart_events;orders</t>
  </si>
  <si>
    <t>products;order_items;categories</t>
  </si>
  <si>
    <t>inventory;orders</t>
  </si>
  <si>
    <t>inventory;product_availability_logs</t>
  </si>
  <si>
    <t>marketing_campaigns;orders</t>
  </si>
  <si>
    <t>customer_acquisition_channels;orders</t>
  </si>
  <si>
    <t>ABC</t>
  </si>
  <si>
    <t>CDE</t>
  </si>
  <si>
    <t>DEF</t>
  </si>
  <si>
    <t>XYZ</t>
  </si>
  <si>
    <t>AAA</t>
  </si>
  <si>
    <t>product abc</t>
  </si>
  <si>
    <t>product abc v2</t>
  </si>
  <si>
    <t>product abc v3</t>
  </si>
  <si>
    <t xml:space="preserve">product aaa </t>
  </si>
  <si>
    <t>product aaa v2</t>
  </si>
  <si>
    <t>product xyz</t>
  </si>
  <si>
    <t>product cde</t>
  </si>
  <si>
    <t>product cde v2</t>
  </si>
  <si>
    <t>product def</t>
  </si>
  <si>
    <t>product aaa v3</t>
  </si>
  <si>
    <t>Summer Sale</t>
  </si>
  <si>
    <t>Fashion-conscious individuals</t>
  </si>
  <si>
    <t>Back to School</t>
  </si>
  <si>
    <t>Parents with school-aged children</t>
  </si>
  <si>
    <t>Holiday Gift Guide</t>
  </si>
  <si>
    <t>Shoppers seeking holiday gifts</t>
  </si>
  <si>
    <t>Tech Tuesday</t>
  </si>
  <si>
    <t>Tech enthusiasts</t>
  </si>
  <si>
    <t>Spring Refresh</t>
  </si>
  <si>
    <t>Home decor enthusiasts</t>
  </si>
  <si>
    <t>Cyber Monday Blitz</t>
  </si>
  <si>
    <t>Online shoppers</t>
  </si>
  <si>
    <t>New Year, New You</t>
  </si>
  <si>
    <t>Health and fitness enthusiasts</t>
  </si>
  <si>
    <t>Valentine's Day Romance</t>
  </si>
  <si>
    <t>Couples and romantics</t>
  </si>
  <si>
    <t>Spring Break Getaway</t>
  </si>
  <si>
    <t>Travelers seeking spring break destinations</t>
  </si>
  <si>
    <t>Earth Day Sustainability</t>
  </si>
  <si>
    <t>Eco-conscious consumers</t>
  </si>
  <si>
    <t>in stock</t>
  </si>
  <si>
    <t>out of stock</t>
  </si>
  <si>
    <t>monthly (YoY)</t>
  </si>
  <si>
    <t>success</t>
  </si>
  <si>
    <t>cancelled</t>
  </si>
  <si>
    <t>VA</t>
  </si>
  <si>
    <t>CC</t>
  </si>
  <si>
    <t>COD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</si>
</sst>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7" formatCode="m/d/yy\ h:mm;@"/>
    <numFmt numFmtId="171" formatCode="yyyy/mm/dd\Thh:mm:ss"/>
  </numFmts>
  <fonts count="2" x14ac:knownFonts="1">
    <font>
      <sz val="11"/>
      <color theme="1"/>
      <name val="Calibri"/>
      <family val="2"/>
      <scheme val="minor"/>
    </font>
    <font>
      <sz val="9"/>
      <color rgb="FF21334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quotePrefix="1"/>
    <xf numFmtId="14" fontId="0" fillId="0" borderId="0" xfId="0" applyNumberFormat="1"/>
    <xf numFmtId="167" fontId="0" fillId="0" borderId="0" xfId="0" applyNumberFormat="1"/>
    <xf numFmtId="1" fontId="0" fillId="0" borderId="0" xfId="0" applyNumberFormat="1"/>
    <xf numFmtId="0" fontId="0" fillId="2" borderId="0" xfId="0" applyFill="1"/>
    <xf numFmtId="22" fontId="0" fillId="0" borderId="0" xfId="0" applyNumberFormat="1"/>
    <xf numFmtId="171" fontId="0" fillId="0" borderId="0" xfId="0" applyNumberFormat="1"/>
    <xf numFmtId="0" fontId="0" fillId="0" borderId="0" xfId="0" applyFill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520E1-A400-4E48-BC5C-5548245FD480}">
  <sheetPr codeName="Sheet1"/>
  <dimension ref="A1:C15"/>
  <sheetViews>
    <sheetView workbookViewId="0">
      <selection activeCell="K11" sqref="K11"/>
    </sheetView>
  </sheetViews>
  <sheetFormatPr defaultRowHeight="14.5" x14ac:dyDescent="0.35"/>
  <sheetData>
    <row r="1" spans="1:3" x14ac:dyDescent="0.35">
      <c r="A1" t="s">
        <v>0</v>
      </c>
      <c r="B1" t="s">
        <v>14</v>
      </c>
      <c r="C1" t="s">
        <v>1</v>
      </c>
    </row>
    <row r="2" spans="1:3" x14ac:dyDescent="0.35">
      <c r="B2" t="s">
        <v>15</v>
      </c>
      <c r="C2" t="s">
        <v>2</v>
      </c>
    </row>
    <row r="3" spans="1:3" x14ac:dyDescent="0.35">
      <c r="B3" t="s">
        <v>15</v>
      </c>
      <c r="C3" t="s">
        <v>3</v>
      </c>
    </row>
    <row r="4" spans="1:3" x14ac:dyDescent="0.35">
      <c r="B4" t="s">
        <v>15</v>
      </c>
      <c r="C4" t="s">
        <v>4</v>
      </c>
    </row>
    <row r="5" spans="1:3" x14ac:dyDescent="0.35">
      <c r="B5" t="s">
        <v>15</v>
      </c>
      <c r="C5" t="s">
        <v>5</v>
      </c>
    </row>
    <row r="6" spans="1:3" x14ac:dyDescent="0.35">
      <c r="B6" t="s">
        <v>15</v>
      </c>
      <c r="C6" t="s">
        <v>6</v>
      </c>
    </row>
    <row r="7" spans="1:3" x14ac:dyDescent="0.35">
      <c r="B7" t="s">
        <v>15</v>
      </c>
      <c r="C7" t="s">
        <v>7</v>
      </c>
    </row>
    <row r="8" spans="1:3" x14ac:dyDescent="0.35">
      <c r="B8" t="s">
        <v>18</v>
      </c>
      <c r="C8" t="s">
        <v>8</v>
      </c>
    </row>
    <row r="9" spans="1:3" x14ac:dyDescent="0.35">
      <c r="B9" t="s">
        <v>18</v>
      </c>
      <c r="C9" t="s">
        <v>9</v>
      </c>
    </row>
    <row r="10" spans="1:3" x14ac:dyDescent="0.35">
      <c r="B10" t="s">
        <v>15</v>
      </c>
      <c r="C10" t="s">
        <v>10</v>
      </c>
    </row>
    <row r="11" spans="1:3" x14ac:dyDescent="0.35">
      <c r="B11" t="s">
        <v>15</v>
      </c>
      <c r="C11" t="s">
        <v>11</v>
      </c>
    </row>
    <row r="12" spans="1:3" x14ac:dyDescent="0.35">
      <c r="B12" t="s">
        <v>15</v>
      </c>
      <c r="C12" t="s">
        <v>12</v>
      </c>
    </row>
    <row r="13" spans="1:3" x14ac:dyDescent="0.35">
      <c r="B13" t="s">
        <v>15</v>
      </c>
      <c r="C13" t="s">
        <v>13</v>
      </c>
    </row>
    <row r="14" spans="1:3" x14ac:dyDescent="0.35">
      <c r="B14" t="s">
        <v>15</v>
      </c>
      <c r="C14" t="s">
        <v>16</v>
      </c>
    </row>
    <row r="15" spans="1:3" x14ac:dyDescent="0.35">
      <c r="B15" t="s">
        <v>15</v>
      </c>
      <c r="C15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9C280-DDC4-4D72-99CF-D8A5BA07D359}">
  <sheetPr codeName="Sheet2"/>
  <dimension ref="A1:G15"/>
  <sheetViews>
    <sheetView workbookViewId="0">
      <selection activeCell="C17" sqref="C17"/>
    </sheetView>
  </sheetViews>
  <sheetFormatPr defaultRowHeight="14.5" x14ac:dyDescent="0.35"/>
  <cols>
    <col min="2" max="2" width="23.90625" bestFit="1" customWidth="1"/>
    <col min="3" max="3" width="32.1796875" customWidth="1"/>
    <col min="4" max="4" width="11.36328125" bestFit="1" customWidth="1"/>
    <col min="5" max="5" width="14.36328125" bestFit="1" customWidth="1"/>
    <col min="6" max="6" width="24.54296875" bestFit="1" customWidth="1"/>
  </cols>
  <sheetData>
    <row r="1" spans="1:7" x14ac:dyDescent="0.35">
      <c r="A1" t="s">
        <v>19</v>
      </c>
      <c r="B1" t="s">
        <v>24</v>
      </c>
      <c r="C1" t="s">
        <v>20</v>
      </c>
      <c r="D1" t="s">
        <v>21</v>
      </c>
      <c r="E1" t="s">
        <v>22</v>
      </c>
      <c r="F1" t="s">
        <v>23</v>
      </c>
      <c r="G1" t="s">
        <v>164</v>
      </c>
    </row>
    <row r="2" spans="1:7" x14ac:dyDescent="0.35">
      <c r="B2" t="s">
        <v>26</v>
      </c>
      <c r="C2" s="9" t="s">
        <v>25</v>
      </c>
      <c r="D2" t="s">
        <v>43</v>
      </c>
      <c r="F2" t="s">
        <v>46</v>
      </c>
      <c r="G2" t="s">
        <v>165</v>
      </c>
    </row>
    <row r="3" spans="1:7" x14ac:dyDescent="0.35">
      <c r="C3" s="6" t="s">
        <v>25</v>
      </c>
      <c r="D3" t="s">
        <v>44</v>
      </c>
      <c r="E3" t="s">
        <v>213</v>
      </c>
      <c r="F3" t="s">
        <v>47</v>
      </c>
      <c r="G3" t="s">
        <v>165</v>
      </c>
    </row>
    <row r="4" spans="1:7" x14ac:dyDescent="0.35">
      <c r="B4" t="s">
        <v>26</v>
      </c>
      <c r="C4" s="6" t="s">
        <v>27</v>
      </c>
      <c r="D4" t="s">
        <v>44</v>
      </c>
      <c r="E4" t="s">
        <v>45</v>
      </c>
      <c r="F4" t="s">
        <v>47</v>
      </c>
      <c r="G4" t="s">
        <v>2</v>
      </c>
    </row>
    <row r="5" spans="1:7" x14ac:dyDescent="0.35">
      <c r="B5" t="s">
        <v>26</v>
      </c>
      <c r="C5" s="6" t="s">
        <v>28</v>
      </c>
      <c r="D5" t="s">
        <v>44</v>
      </c>
      <c r="E5" t="s">
        <v>45</v>
      </c>
      <c r="F5" t="s">
        <v>48</v>
      </c>
      <c r="G5" t="s">
        <v>166</v>
      </c>
    </row>
    <row r="6" spans="1:7" x14ac:dyDescent="0.35">
      <c r="B6" t="s">
        <v>29</v>
      </c>
      <c r="C6" s="6" t="s">
        <v>30</v>
      </c>
      <c r="D6" t="s">
        <v>44</v>
      </c>
      <c r="E6" t="s">
        <v>60</v>
      </c>
      <c r="F6" t="s">
        <v>49</v>
      </c>
      <c r="G6" t="s">
        <v>167</v>
      </c>
    </row>
    <row r="7" spans="1:7" x14ac:dyDescent="0.35">
      <c r="B7" t="s">
        <v>29</v>
      </c>
      <c r="C7" s="6" t="s">
        <v>31</v>
      </c>
      <c r="D7" t="s">
        <v>44</v>
      </c>
      <c r="E7" t="s">
        <v>50</v>
      </c>
      <c r="F7" t="s">
        <v>57</v>
      </c>
      <c r="G7" t="s">
        <v>168</v>
      </c>
    </row>
    <row r="8" spans="1:7" x14ac:dyDescent="0.35">
      <c r="B8" t="s">
        <v>29</v>
      </c>
      <c r="C8" s="9" t="s">
        <v>32</v>
      </c>
      <c r="D8" t="s">
        <v>43</v>
      </c>
      <c r="F8" t="s">
        <v>52</v>
      </c>
      <c r="G8" t="s">
        <v>168</v>
      </c>
    </row>
    <row r="9" spans="1:7" x14ac:dyDescent="0.35">
      <c r="B9" t="s">
        <v>33</v>
      </c>
      <c r="C9" t="s">
        <v>34</v>
      </c>
      <c r="D9" t="s">
        <v>43</v>
      </c>
      <c r="F9" t="s">
        <v>51</v>
      </c>
      <c r="G9" t="s">
        <v>169</v>
      </c>
    </row>
    <row r="10" spans="1:7" x14ac:dyDescent="0.35">
      <c r="B10" t="s">
        <v>33</v>
      </c>
      <c r="C10" t="s">
        <v>35</v>
      </c>
      <c r="D10" t="s">
        <v>43</v>
      </c>
      <c r="F10" t="s">
        <v>52</v>
      </c>
      <c r="G10" t="s">
        <v>170</v>
      </c>
    </row>
    <row r="11" spans="1:7" x14ac:dyDescent="0.35">
      <c r="B11" t="s">
        <v>33</v>
      </c>
      <c r="C11" t="s">
        <v>36</v>
      </c>
      <c r="D11" t="s">
        <v>44</v>
      </c>
      <c r="E11" t="s">
        <v>45</v>
      </c>
      <c r="F11" t="s">
        <v>58</v>
      </c>
      <c r="G11" t="s">
        <v>171</v>
      </c>
    </row>
    <row r="12" spans="1:7" x14ac:dyDescent="0.35">
      <c r="B12" t="s">
        <v>37</v>
      </c>
      <c r="C12" t="s">
        <v>38</v>
      </c>
      <c r="D12" t="s">
        <v>44</v>
      </c>
      <c r="E12" t="s">
        <v>53</v>
      </c>
      <c r="F12" t="s">
        <v>46</v>
      </c>
      <c r="G12" t="s">
        <v>172</v>
      </c>
    </row>
    <row r="13" spans="1:7" x14ac:dyDescent="0.35">
      <c r="B13" t="s">
        <v>37</v>
      </c>
      <c r="C13" t="s">
        <v>39</v>
      </c>
      <c r="D13" t="s">
        <v>43</v>
      </c>
      <c r="F13" t="s">
        <v>59</v>
      </c>
      <c r="G13" t="s">
        <v>173</v>
      </c>
    </row>
    <row r="14" spans="1:7" x14ac:dyDescent="0.35">
      <c r="B14" t="s">
        <v>40</v>
      </c>
      <c r="C14" t="s">
        <v>41</v>
      </c>
      <c r="D14" t="s">
        <v>44</v>
      </c>
      <c r="E14" t="s">
        <v>54</v>
      </c>
      <c r="F14" t="s">
        <v>55</v>
      </c>
      <c r="G14" t="s">
        <v>174</v>
      </c>
    </row>
    <row r="15" spans="1:7" x14ac:dyDescent="0.35">
      <c r="B15" t="s">
        <v>40</v>
      </c>
      <c r="C15" t="s">
        <v>42</v>
      </c>
      <c r="D15" t="s">
        <v>44</v>
      </c>
      <c r="E15" t="s">
        <v>61</v>
      </c>
      <c r="F15" t="s">
        <v>56</v>
      </c>
      <c r="G15" t="s">
        <v>175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8BD55-2EA1-4949-8975-DE26EEBE0FB8}">
  <sheetPr codeName="Sheet3"/>
  <dimension ref="A1:J12"/>
  <sheetViews>
    <sheetView tabSelected="1" workbookViewId="0">
      <selection activeCell="F1" sqref="F1"/>
    </sheetView>
  </sheetViews>
  <sheetFormatPr defaultRowHeight="14.5" x14ac:dyDescent="0.35"/>
  <cols>
    <col min="1" max="1" width="8" bestFit="1" customWidth="1"/>
    <col min="2" max="2" width="11.1796875" bestFit="1" customWidth="1"/>
    <col min="3" max="3" width="10.1796875" bestFit="1" customWidth="1"/>
    <col min="4" max="4" width="11.453125" bestFit="1" customWidth="1"/>
    <col min="5" max="5" width="12.1796875" bestFit="1" customWidth="1"/>
    <col min="6" max="6" width="15.81640625" bestFit="1" customWidth="1"/>
  </cols>
  <sheetData>
    <row r="1" spans="1:10" x14ac:dyDescent="0.35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</row>
    <row r="2" spans="1:10" x14ac:dyDescent="0.35">
      <c r="A2">
        <v>1</v>
      </c>
      <c r="B2">
        <v>1</v>
      </c>
      <c r="C2" s="3">
        <v>43866</v>
      </c>
      <c r="D2" t="s">
        <v>214</v>
      </c>
      <c r="E2">
        <v>5579</v>
      </c>
      <c r="F2" t="s">
        <v>216</v>
      </c>
    </row>
    <row r="3" spans="1:10" x14ac:dyDescent="0.35">
      <c r="A3">
        <v>2</v>
      </c>
      <c r="B3">
        <v>2</v>
      </c>
      <c r="C3" s="3">
        <v>44567</v>
      </c>
      <c r="D3" t="s">
        <v>214</v>
      </c>
      <c r="E3">
        <v>616</v>
      </c>
      <c r="F3" t="s">
        <v>217</v>
      </c>
      <c r="J3" s="10"/>
    </row>
    <row r="4" spans="1:10" x14ac:dyDescent="0.35">
      <c r="A4">
        <v>3</v>
      </c>
      <c r="B4">
        <v>3</v>
      </c>
      <c r="C4" s="3">
        <v>44037</v>
      </c>
      <c r="D4" t="s">
        <v>214</v>
      </c>
      <c r="E4">
        <v>1296</v>
      </c>
      <c r="F4" t="s">
        <v>218</v>
      </c>
      <c r="J4" s="10"/>
    </row>
    <row r="5" spans="1:10" x14ac:dyDescent="0.35">
      <c r="A5">
        <v>4</v>
      </c>
      <c r="B5">
        <v>4</v>
      </c>
      <c r="C5" s="3">
        <v>45140</v>
      </c>
      <c r="D5" t="s">
        <v>214</v>
      </c>
      <c r="E5">
        <v>505</v>
      </c>
      <c r="F5" t="s">
        <v>216</v>
      </c>
    </row>
    <row r="6" spans="1:10" x14ac:dyDescent="0.35">
      <c r="A6">
        <v>5</v>
      </c>
      <c r="B6">
        <v>5</v>
      </c>
      <c r="C6" s="3">
        <v>43850</v>
      </c>
      <c r="D6" t="s">
        <v>214</v>
      </c>
      <c r="E6">
        <v>4655</v>
      </c>
      <c r="F6" t="s">
        <v>217</v>
      </c>
    </row>
    <row r="7" spans="1:10" x14ac:dyDescent="0.35">
      <c r="A7">
        <v>6</v>
      </c>
      <c r="B7">
        <v>6</v>
      </c>
      <c r="C7" s="3">
        <v>43940</v>
      </c>
      <c r="D7" t="s">
        <v>214</v>
      </c>
      <c r="E7">
        <v>443</v>
      </c>
      <c r="F7" t="s">
        <v>216</v>
      </c>
    </row>
    <row r="8" spans="1:10" x14ac:dyDescent="0.35">
      <c r="A8">
        <v>7</v>
      </c>
      <c r="B8">
        <v>7</v>
      </c>
      <c r="C8" s="3">
        <v>44788</v>
      </c>
      <c r="D8" t="s">
        <v>214</v>
      </c>
      <c r="E8">
        <v>404</v>
      </c>
      <c r="F8" t="s">
        <v>217</v>
      </c>
    </row>
    <row r="9" spans="1:10" x14ac:dyDescent="0.35">
      <c r="A9">
        <v>8</v>
      </c>
      <c r="B9">
        <v>8</v>
      </c>
      <c r="C9" s="3">
        <v>44231</v>
      </c>
      <c r="D9" t="s">
        <v>214</v>
      </c>
      <c r="E9">
        <v>931</v>
      </c>
      <c r="F9" t="s">
        <v>216</v>
      </c>
    </row>
    <row r="10" spans="1:10" x14ac:dyDescent="0.35">
      <c r="A10">
        <v>9</v>
      </c>
      <c r="B10">
        <v>9</v>
      </c>
      <c r="C10" s="3">
        <v>45208</v>
      </c>
      <c r="D10" t="s">
        <v>214</v>
      </c>
      <c r="E10">
        <v>7169</v>
      </c>
      <c r="F10" t="s">
        <v>217</v>
      </c>
    </row>
    <row r="11" spans="1:10" x14ac:dyDescent="0.35">
      <c r="A11">
        <v>10</v>
      </c>
      <c r="B11">
        <v>10</v>
      </c>
      <c r="C11" s="3">
        <v>45301</v>
      </c>
      <c r="D11" t="s">
        <v>214</v>
      </c>
      <c r="E11">
        <v>8806</v>
      </c>
      <c r="F11" t="s">
        <v>216</v>
      </c>
    </row>
    <row r="12" spans="1:10" x14ac:dyDescent="0.35">
      <c r="A12">
        <v>11</v>
      </c>
      <c r="B12">
        <v>1</v>
      </c>
      <c r="C12" s="3">
        <v>44564</v>
      </c>
      <c r="D12" t="s">
        <v>215</v>
      </c>
      <c r="E12">
        <v>676</v>
      </c>
      <c r="F12" t="s">
        <v>218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A3102-4A93-4B35-A6D9-6B76500A0D10}">
  <sheetPr codeName="Sheet4"/>
  <dimension ref="A1:E19"/>
  <sheetViews>
    <sheetView workbookViewId="0">
      <selection activeCell="F1" sqref="F1:F1048576"/>
    </sheetView>
  </sheetViews>
  <sheetFormatPr defaultRowHeight="14.5" x14ac:dyDescent="0.35"/>
  <cols>
    <col min="1" max="1" width="12.7265625" bestFit="1" customWidth="1"/>
    <col min="2" max="2" width="8" bestFit="1" customWidth="1"/>
    <col min="3" max="3" width="9.90625" bestFit="1" customWidth="1"/>
  </cols>
  <sheetData>
    <row r="1" spans="1:5" x14ac:dyDescent="0.35">
      <c r="A1" t="s">
        <v>68</v>
      </c>
      <c r="B1" t="s">
        <v>62</v>
      </c>
      <c r="C1" t="s">
        <v>69</v>
      </c>
      <c r="D1" t="s">
        <v>70</v>
      </c>
      <c r="E1" t="s">
        <v>71</v>
      </c>
    </row>
    <row r="2" spans="1:5" x14ac:dyDescent="0.35">
      <c r="A2">
        <v>1</v>
      </c>
      <c r="B2">
        <v>1</v>
      </c>
      <c r="C2">
        <v>1</v>
      </c>
      <c r="D2">
        <v>5</v>
      </c>
      <c r="E2">
        <v>931</v>
      </c>
    </row>
    <row r="3" spans="1:5" x14ac:dyDescent="0.35">
      <c r="A3">
        <v>2</v>
      </c>
      <c r="B3">
        <v>1</v>
      </c>
      <c r="C3">
        <v>2</v>
      </c>
      <c r="D3">
        <v>3</v>
      </c>
      <c r="E3">
        <v>308</v>
      </c>
    </row>
    <row r="4" spans="1:5" x14ac:dyDescent="0.35">
      <c r="A4">
        <v>3</v>
      </c>
      <c r="B4">
        <v>2</v>
      </c>
      <c r="C4">
        <v>2</v>
      </c>
      <c r="D4">
        <v>2</v>
      </c>
      <c r="E4">
        <v>308</v>
      </c>
    </row>
    <row r="5" spans="1:5" x14ac:dyDescent="0.35">
      <c r="A5">
        <v>4</v>
      </c>
      <c r="B5">
        <v>3</v>
      </c>
      <c r="C5">
        <v>5</v>
      </c>
      <c r="D5">
        <v>3</v>
      </c>
      <c r="E5">
        <v>432</v>
      </c>
    </row>
    <row r="6" spans="1:5" x14ac:dyDescent="0.35">
      <c r="A6">
        <v>5</v>
      </c>
      <c r="B6">
        <v>4</v>
      </c>
      <c r="C6">
        <v>7</v>
      </c>
      <c r="D6">
        <v>5</v>
      </c>
      <c r="E6">
        <v>101</v>
      </c>
    </row>
    <row r="7" spans="1:5" x14ac:dyDescent="0.35">
      <c r="A7">
        <v>6</v>
      </c>
      <c r="B7">
        <v>5</v>
      </c>
      <c r="C7">
        <v>1</v>
      </c>
      <c r="D7">
        <v>5</v>
      </c>
      <c r="E7">
        <v>931</v>
      </c>
    </row>
    <row r="8" spans="1:5" x14ac:dyDescent="0.35">
      <c r="A8">
        <v>7</v>
      </c>
      <c r="B8">
        <v>6</v>
      </c>
      <c r="C8">
        <v>10</v>
      </c>
      <c r="D8">
        <v>1</v>
      </c>
      <c r="E8">
        <v>443</v>
      </c>
    </row>
    <row r="9" spans="1:5" x14ac:dyDescent="0.35">
      <c r="A9">
        <v>8</v>
      </c>
      <c r="B9">
        <v>7</v>
      </c>
      <c r="C9">
        <v>7</v>
      </c>
      <c r="D9">
        <v>4</v>
      </c>
      <c r="E9">
        <v>101</v>
      </c>
    </row>
    <row r="10" spans="1:5" x14ac:dyDescent="0.35">
      <c r="A10">
        <v>9</v>
      </c>
      <c r="B10">
        <v>8</v>
      </c>
      <c r="C10">
        <v>1</v>
      </c>
      <c r="D10">
        <v>1</v>
      </c>
      <c r="E10">
        <v>931</v>
      </c>
    </row>
    <row r="11" spans="1:5" x14ac:dyDescent="0.35">
      <c r="A11">
        <v>10</v>
      </c>
      <c r="B11">
        <v>9</v>
      </c>
      <c r="C11">
        <v>5</v>
      </c>
      <c r="D11">
        <v>1</v>
      </c>
      <c r="E11">
        <v>432</v>
      </c>
    </row>
    <row r="12" spans="1:5" x14ac:dyDescent="0.35">
      <c r="A12">
        <v>11</v>
      </c>
      <c r="B12">
        <v>9</v>
      </c>
      <c r="C12">
        <v>1</v>
      </c>
      <c r="D12">
        <v>3</v>
      </c>
      <c r="E12">
        <v>931</v>
      </c>
    </row>
    <row r="13" spans="1:5" x14ac:dyDescent="0.35">
      <c r="A13">
        <v>12</v>
      </c>
      <c r="B13">
        <v>9</v>
      </c>
      <c r="C13">
        <v>6</v>
      </c>
      <c r="D13">
        <v>4</v>
      </c>
      <c r="E13">
        <v>986</v>
      </c>
    </row>
    <row r="14" spans="1:5" x14ac:dyDescent="0.35">
      <c r="A14">
        <v>13</v>
      </c>
      <c r="B14">
        <v>10</v>
      </c>
      <c r="C14">
        <v>5</v>
      </c>
      <c r="D14">
        <v>4</v>
      </c>
      <c r="E14">
        <v>432</v>
      </c>
    </row>
    <row r="15" spans="1:5" x14ac:dyDescent="0.35">
      <c r="A15">
        <v>14</v>
      </c>
      <c r="B15">
        <v>10</v>
      </c>
      <c r="C15">
        <v>10</v>
      </c>
      <c r="D15">
        <v>2</v>
      </c>
      <c r="E15">
        <v>443</v>
      </c>
    </row>
    <row r="16" spans="1:5" x14ac:dyDescent="0.35">
      <c r="A16">
        <v>15</v>
      </c>
      <c r="B16">
        <v>10</v>
      </c>
      <c r="C16">
        <v>9</v>
      </c>
      <c r="D16">
        <v>5</v>
      </c>
      <c r="E16">
        <v>772</v>
      </c>
    </row>
    <row r="17" spans="1:5" x14ac:dyDescent="0.35">
      <c r="A17">
        <v>16</v>
      </c>
      <c r="B17">
        <v>10</v>
      </c>
      <c r="C17">
        <v>2</v>
      </c>
      <c r="D17">
        <v>4</v>
      </c>
      <c r="E17">
        <v>308</v>
      </c>
    </row>
    <row r="18" spans="1:5" x14ac:dyDescent="0.35">
      <c r="A18">
        <v>17</v>
      </c>
      <c r="B18">
        <v>10</v>
      </c>
      <c r="C18">
        <v>3</v>
      </c>
      <c r="D18">
        <v>4</v>
      </c>
      <c r="E18">
        <v>275</v>
      </c>
    </row>
    <row r="19" spans="1:5" x14ac:dyDescent="0.35">
      <c r="A19">
        <v>18</v>
      </c>
      <c r="B19">
        <v>11</v>
      </c>
      <c r="C19">
        <v>8</v>
      </c>
      <c r="D19">
        <v>1</v>
      </c>
      <c r="E19">
        <v>676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B069-E767-4FE0-BBB1-2BEBA83A4F1A}">
  <sheetPr codeName="Sheet5"/>
  <dimension ref="A1:H11"/>
  <sheetViews>
    <sheetView workbookViewId="0">
      <selection activeCell="I4" sqref="I4"/>
    </sheetView>
  </sheetViews>
  <sheetFormatPr defaultRowHeight="14.5" x14ac:dyDescent="0.35"/>
  <cols>
    <col min="1" max="1" width="11.1796875" bestFit="1" customWidth="1"/>
    <col min="2" max="2" width="19.1796875" bestFit="1" customWidth="1"/>
    <col min="3" max="3" width="7" bestFit="1" customWidth="1"/>
    <col min="4" max="4" width="28.90625" bestFit="1" customWidth="1"/>
    <col min="5" max="5" width="11.81640625" bestFit="1" customWidth="1"/>
    <col min="7" max="7" width="18.36328125" style="4" bestFit="1" customWidth="1"/>
    <col min="8" max="8" width="20.08984375" style="5" bestFit="1" customWidth="1"/>
  </cols>
  <sheetData>
    <row r="1" spans="1:8" x14ac:dyDescent="0.35">
      <c r="A1" t="s">
        <v>63</v>
      </c>
      <c r="B1" t="s">
        <v>20</v>
      </c>
      <c r="C1" t="s">
        <v>113</v>
      </c>
      <c r="D1" t="s">
        <v>72</v>
      </c>
      <c r="E1" t="s">
        <v>73</v>
      </c>
      <c r="F1" t="s">
        <v>118</v>
      </c>
      <c r="G1" s="4" t="s">
        <v>74</v>
      </c>
      <c r="H1" s="5" t="s">
        <v>75</v>
      </c>
    </row>
    <row r="2" spans="1:8" x14ac:dyDescent="0.35">
      <c r="A2">
        <v>1</v>
      </c>
      <c r="B2" t="s">
        <v>104</v>
      </c>
      <c r="C2" t="s">
        <v>115</v>
      </c>
      <c r="D2" t="str">
        <f>_xlfn.CONCAT(SUBSTITUTE(B2," ","."),"@mail.com")</f>
        <v>John.Doe@mail.com</v>
      </c>
      <c r="E2" s="2" t="s">
        <v>125</v>
      </c>
      <c r="F2" t="s">
        <v>117</v>
      </c>
      <c r="G2" s="3" t="s">
        <v>135</v>
      </c>
      <c r="H2" s="5">
        <v>11</v>
      </c>
    </row>
    <row r="3" spans="1:8" x14ac:dyDescent="0.35">
      <c r="A3">
        <v>2</v>
      </c>
      <c r="B3" t="s">
        <v>105</v>
      </c>
      <c r="C3" t="s">
        <v>116</v>
      </c>
      <c r="D3" t="str">
        <f t="shared" ref="D3:D11" si="0">_xlfn.CONCAT(SUBSTITUTE(B3," ","."),"@mail.com")</f>
        <v>Jane.Doe@mail.com</v>
      </c>
      <c r="E3" s="2" t="s">
        <v>126</v>
      </c>
      <c r="F3" t="s">
        <v>117</v>
      </c>
      <c r="G3" s="3" t="s">
        <v>136</v>
      </c>
      <c r="H3" s="5">
        <v>7</v>
      </c>
    </row>
    <row r="4" spans="1:8" x14ac:dyDescent="0.35">
      <c r="A4">
        <v>3</v>
      </c>
      <c r="B4" t="s">
        <v>106</v>
      </c>
      <c r="C4" t="s">
        <v>115</v>
      </c>
      <c r="D4" t="str">
        <f t="shared" si="0"/>
        <v>Elon.Musk@mail.com</v>
      </c>
      <c r="E4" s="2" t="s">
        <v>127</v>
      </c>
      <c r="F4" t="s">
        <v>117</v>
      </c>
      <c r="G4" s="3" t="s">
        <v>137</v>
      </c>
      <c r="H4" s="5">
        <v>10</v>
      </c>
    </row>
    <row r="5" spans="1:8" x14ac:dyDescent="0.35">
      <c r="A5">
        <v>4</v>
      </c>
      <c r="B5" t="s">
        <v>107</v>
      </c>
      <c r="C5" t="s">
        <v>115</v>
      </c>
      <c r="D5" t="str">
        <f t="shared" si="0"/>
        <v>Bill.Gates@mail.com</v>
      </c>
      <c r="E5" s="2" t="s">
        <v>128</v>
      </c>
      <c r="F5" t="s">
        <v>117</v>
      </c>
      <c r="G5" s="3" t="s">
        <v>138</v>
      </c>
      <c r="H5" s="5">
        <v>1</v>
      </c>
    </row>
    <row r="6" spans="1:8" x14ac:dyDescent="0.35">
      <c r="A6">
        <v>5</v>
      </c>
      <c r="B6" t="s">
        <v>108</v>
      </c>
      <c r="C6" t="s">
        <v>115</v>
      </c>
      <c r="D6" t="str">
        <f t="shared" si="0"/>
        <v>Eleanor.Rigby@mail.com</v>
      </c>
      <c r="E6" s="2" t="s">
        <v>129</v>
      </c>
      <c r="F6" t="s">
        <v>120</v>
      </c>
      <c r="G6" s="3" t="s">
        <v>139</v>
      </c>
      <c r="H6" s="5">
        <v>5</v>
      </c>
    </row>
    <row r="7" spans="1:8" x14ac:dyDescent="0.35">
      <c r="A7">
        <v>6</v>
      </c>
      <c r="B7" t="s">
        <v>109</v>
      </c>
      <c r="C7" t="s">
        <v>115</v>
      </c>
      <c r="D7" t="str">
        <f t="shared" si="0"/>
        <v>Muhammad.Abdullah@mail.com</v>
      </c>
      <c r="E7" s="2" t="s">
        <v>130</v>
      </c>
      <c r="F7" t="s">
        <v>119</v>
      </c>
      <c r="G7" s="3" t="s">
        <v>140</v>
      </c>
      <c r="H7" s="5">
        <v>12</v>
      </c>
    </row>
    <row r="8" spans="1:8" x14ac:dyDescent="0.35">
      <c r="A8">
        <v>7</v>
      </c>
      <c r="B8" t="s">
        <v>110</v>
      </c>
      <c r="C8" t="s">
        <v>115</v>
      </c>
      <c r="D8" t="str">
        <f t="shared" si="0"/>
        <v>Eiichiro.Oda@mail.com</v>
      </c>
      <c r="E8" s="2" t="s">
        <v>131</v>
      </c>
      <c r="F8" t="s">
        <v>121</v>
      </c>
      <c r="G8" s="3" t="s">
        <v>141</v>
      </c>
      <c r="H8" s="5">
        <v>4</v>
      </c>
    </row>
    <row r="9" spans="1:8" x14ac:dyDescent="0.35">
      <c r="A9">
        <v>8</v>
      </c>
      <c r="B9" t="s">
        <v>111</v>
      </c>
      <c r="C9" t="s">
        <v>115</v>
      </c>
      <c r="D9" t="str">
        <f t="shared" si="0"/>
        <v>Wang.Yichen@mail.com</v>
      </c>
      <c r="E9" s="2" t="s">
        <v>132</v>
      </c>
      <c r="F9" t="s">
        <v>122</v>
      </c>
      <c r="G9" s="3" t="s">
        <v>142</v>
      </c>
      <c r="H9" s="5">
        <v>2</v>
      </c>
    </row>
    <row r="10" spans="1:8" x14ac:dyDescent="0.35">
      <c r="A10">
        <v>9</v>
      </c>
      <c r="B10" t="s">
        <v>112</v>
      </c>
      <c r="C10" t="s">
        <v>115</v>
      </c>
      <c r="D10" t="str">
        <f t="shared" si="0"/>
        <v>Sanjaya.Putra@mail.com</v>
      </c>
      <c r="E10" s="2" t="s">
        <v>133</v>
      </c>
      <c r="F10" t="s">
        <v>123</v>
      </c>
      <c r="G10" s="3" t="s">
        <v>143</v>
      </c>
      <c r="H10" s="5">
        <v>1</v>
      </c>
    </row>
    <row r="11" spans="1:8" x14ac:dyDescent="0.35">
      <c r="A11">
        <v>10</v>
      </c>
      <c r="B11" t="s">
        <v>114</v>
      </c>
      <c r="C11" t="s">
        <v>116</v>
      </c>
      <c r="D11" t="str">
        <f t="shared" si="0"/>
        <v>Daran.Tasha@mail.com</v>
      </c>
      <c r="E11" s="2" t="s">
        <v>134</v>
      </c>
      <c r="F11" t="s">
        <v>124</v>
      </c>
      <c r="G11" s="3" t="s">
        <v>144</v>
      </c>
      <c r="H11" s="5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6170A-D5D3-41A0-B7EA-7788025FD9E2}">
  <sheetPr codeName="Sheet6"/>
  <dimension ref="A1:D13"/>
  <sheetViews>
    <sheetView workbookViewId="0">
      <selection activeCell="B3" sqref="B3"/>
    </sheetView>
  </sheetViews>
  <sheetFormatPr defaultRowHeight="14.5" x14ac:dyDescent="0.35"/>
  <cols>
    <col min="1" max="1" width="9.90625" bestFit="1" customWidth="1"/>
    <col min="2" max="2" width="12.54296875" bestFit="1" customWidth="1"/>
    <col min="3" max="3" width="18.26953125" bestFit="1" customWidth="1"/>
    <col min="4" max="4" width="151" bestFit="1" customWidth="1"/>
  </cols>
  <sheetData>
    <row r="1" spans="1:4" x14ac:dyDescent="0.35">
      <c r="A1" t="s">
        <v>76</v>
      </c>
      <c r="B1" t="s">
        <v>24</v>
      </c>
      <c r="C1" t="s">
        <v>77</v>
      </c>
      <c r="D1" t="s">
        <v>78</v>
      </c>
    </row>
    <row r="2" spans="1:4" x14ac:dyDescent="0.35">
      <c r="A2">
        <v>1</v>
      </c>
      <c r="B2" t="s">
        <v>94</v>
      </c>
      <c r="C2" t="s">
        <v>79</v>
      </c>
      <c r="D2" s="1" t="s">
        <v>87</v>
      </c>
    </row>
    <row r="3" spans="1:4" x14ac:dyDescent="0.35">
      <c r="A3">
        <v>2</v>
      </c>
      <c r="B3" t="s">
        <v>94</v>
      </c>
      <c r="C3" t="s">
        <v>80</v>
      </c>
      <c r="D3" t="s">
        <v>88</v>
      </c>
    </row>
    <row r="4" spans="1:4" x14ac:dyDescent="0.35">
      <c r="A4">
        <v>3</v>
      </c>
      <c r="B4" t="s">
        <v>95</v>
      </c>
      <c r="C4" t="s">
        <v>81</v>
      </c>
      <c r="D4" s="1" t="s">
        <v>89</v>
      </c>
    </row>
    <row r="5" spans="1:4" x14ac:dyDescent="0.35">
      <c r="A5">
        <v>4</v>
      </c>
      <c r="B5" t="s">
        <v>95</v>
      </c>
      <c r="C5" t="s">
        <v>82</v>
      </c>
      <c r="D5" s="1" t="s">
        <v>90</v>
      </c>
    </row>
    <row r="6" spans="1:4" x14ac:dyDescent="0.35">
      <c r="A6">
        <v>5</v>
      </c>
      <c r="B6" t="s">
        <v>96</v>
      </c>
      <c r="C6" t="s">
        <v>83</v>
      </c>
      <c r="D6" s="1" t="s">
        <v>91</v>
      </c>
    </row>
    <row r="7" spans="1:4" x14ac:dyDescent="0.35">
      <c r="A7">
        <v>6</v>
      </c>
      <c r="B7" t="s">
        <v>96</v>
      </c>
      <c r="C7" t="s">
        <v>102</v>
      </c>
      <c r="D7" s="1" t="s">
        <v>103</v>
      </c>
    </row>
    <row r="8" spans="1:4" x14ac:dyDescent="0.35">
      <c r="A8">
        <v>7</v>
      </c>
      <c r="B8" t="s">
        <v>29</v>
      </c>
      <c r="C8" t="s">
        <v>84</v>
      </c>
      <c r="D8" t="s">
        <v>92</v>
      </c>
    </row>
    <row r="9" spans="1:4" x14ac:dyDescent="0.35">
      <c r="A9">
        <v>8</v>
      </c>
      <c r="B9" t="s">
        <v>85</v>
      </c>
      <c r="C9" t="s">
        <v>100</v>
      </c>
      <c r="D9" s="1" t="s">
        <v>93</v>
      </c>
    </row>
    <row r="10" spans="1:4" x14ac:dyDescent="0.35">
      <c r="A10">
        <v>9</v>
      </c>
      <c r="B10" t="s">
        <v>85</v>
      </c>
      <c r="C10" t="s">
        <v>101</v>
      </c>
      <c r="D10" s="1"/>
    </row>
    <row r="11" spans="1:4" x14ac:dyDescent="0.35">
      <c r="A11">
        <v>10</v>
      </c>
      <c r="B11" t="s">
        <v>86</v>
      </c>
      <c r="C11" t="s">
        <v>97</v>
      </c>
      <c r="D11" s="1"/>
    </row>
    <row r="12" spans="1:4" x14ac:dyDescent="0.35">
      <c r="A12">
        <v>11</v>
      </c>
      <c r="B12" t="s">
        <v>86</v>
      </c>
      <c r="C12" t="s">
        <v>98</v>
      </c>
    </row>
    <row r="13" spans="1:4" x14ac:dyDescent="0.35">
      <c r="A13">
        <v>12</v>
      </c>
      <c r="B13" t="s">
        <v>86</v>
      </c>
      <c r="C13" t="s">
        <v>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74A0F-012A-442F-AD29-254441D7793E}">
  <dimension ref="A1:G11"/>
  <sheetViews>
    <sheetView workbookViewId="0">
      <selection activeCell="D2" sqref="D2:D12"/>
    </sheetView>
  </sheetViews>
  <sheetFormatPr defaultRowHeight="14.5" x14ac:dyDescent="0.35"/>
  <cols>
    <col min="1" max="1" width="9.90625" bestFit="1" customWidth="1"/>
    <col min="2" max="2" width="13.26953125" bestFit="1" customWidth="1"/>
    <col min="3" max="3" width="10.08984375" bestFit="1" customWidth="1"/>
    <col min="5" max="5" width="10.453125" bestFit="1" customWidth="1"/>
    <col min="6" max="6" width="18.36328125" style="8" bestFit="1" customWidth="1"/>
    <col min="7" max="7" width="10.453125" bestFit="1" customWidth="1"/>
  </cols>
  <sheetData>
    <row r="1" spans="1:7" x14ac:dyDescent="0.35">
      <c r="A1" t="s">
        <v>69</v>
      </c>
      <c r="B1" t="s">
        <v>20</v>
      </c>
      <c r="C1" t="s">
        <v>78</v>
      </c>
      <c r="D1" t="s">
        <v>71</v>
      </c>
      <c r="E1" t="s">
        <v>145</v>
      </c>
      <c r="F1" s="8" t="s">
        <v>146</v>
      </c>
      <c r="G1" t="s">
        <v>147</v>
      </c>
    </row>
    <row r="2" spans="1:7" x14ac:dyDescent="0.35">
      <c r="A2">
        <v>1</v>
      </c>
      <c r="B2" t="s">
        <v>181</v>
      </c>
      <c r="D2">
        <v>931</v>
      </c>
      <c r="E2">
        <v>5</v>
      </c>
      <c r="F2" s="8">
        <v>45622.75930150463</v>
      </c>
    </row>
    <row r="3" spans="1:7" x14ac:dyDescent="0.35">
      <c r="A3">
        <v>2</v>
      </c>
      <c r="B3" t="s">
        <v>182</v>
      </c>
      <c r="D3">
        <v>308</v>
      </c>
      <c r="E3">
        <v>4</v>
      </c>
      <c r="F3" s="8">
        <v>45622.75930150463</v>
      </c>
    </row>
    <row r="4" spans="1:7" x14ac:dyDescent="0.35">
      <c r="A4">
        <v>3</v>
      </c>
      <c r="B4" t="s">
        <v>183</v>
      </c>
      <c r="D4">
        <v>275</v>
      </c>
      <c r="E4">
        <v>3</v>
      </c>
      <c r="F4" s="8">
        <v>45622.75930150463</v>
      </c>
    </row>
    <row r="5" spans="1:7" x14ac:dyDescent="0.35">
      <c r="A5">
        <v>4</v>
      </c>
      <c r="B5" t="s">
        <v>184</v>
      </c>
      <c r="D5">
        <v>972</v>
      </c>
      <c r="E5">
        <v>4</v>
      </c>
      <c r="F5" s="8">
        <v>45622.75930150463</v>
      </c>
    </row>
    <row r="6" spans="1:7" x14ac:dyDescent="0.35">
      <c r="A6">
        <v>5</v>
      </c>
      <c r="B6" t="s">
        <v>185</v>
      </c>
      <c r="D6">
        <v>432</v>
      </c>
      <c r="E6">
        <v>5</v>
      </c>
      <c r="F6" s="8">
        <v>45622.75930150463</v>
      </c>
    </row>
    <row r="7" spans="1:7" x14ac:dyDescent="0.35">
      <c r="A7">
        <v>6</v>
      </c>
      <c r="B7" t="s">
        <v>186</v>
      </c>
      <c r="D7">
        <v>986</v>
      </c>
      <c r="E7">
        <v>2</v>
      </c>
      <c r="F7" s="8">
        <v>45622.75930150463</v>
      </c>
    </row>
    <row r="8" spans="1:7" x14ac:dyDescent="0.35">
      <c r="A8">
        <v>7</v>
      </c>
      <c r="B8" t="s">
        <v>187</v>
      </c>
      <c r="D8">
        <v>101</v>
      </c>
      <c r="E8">
        <v>3</v>
      </c>
      <c r="F8" s="8">
        <v>45622.75930150463</v>
      </c>
    </row>
    <row r="9" spans="1:7" x14ac:dyDescent="0.35">
      <c r="A9">
        <v>8</v>
      </c>
      <c r="B9" t="s">
        <v>188</v>
      </c>
      <c r="D9">
        <v>676</v>
      </c>
      <c r="E9">
        <v>3</v>
      </c>
      <c r="F9" s="8">
        <v>45622.75930150463</v>
      </c>
    </row>
    <row r="10" spans="1:7" x14ac:dyDescent="0.35">
      <c r="A10">
        <v>9</v>
      </c>
      <c r="B10" t="s">
        <v>189</v>
      </c>
      <c r="D10">
        <v>772</v>
      </c>
      <c r="E10">
        <v>4</v>
      </c>
      <c r="F10" s="8">
        <v>45622.75930150463</v>
      </c>
    </row>
    <row r="11" spans="1:7" x14ac:dyDescent="0.35">
      <c r="A11">
        <v>10</v>
      </c>
      <c r="B11" t="s">
        <v>190</v>
      </c>
      <c r="D11">
        <v>443</v>
      </c>
      <c r="E11">
        <v>5</v>
      </c>
      <c r="F11" s="8">
        <v>45622.75930150463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B4379-DB3E-46A0-92D1-0D1D92DC1A5E}">
  <dimension ref="A1:D3"/>
  <sheetViews>
    <sheetView workbookViewId="0">
      <selection activeCell="C4" sqref="C4"/>
    </sheetView>
  </sheetViews>
  <sheetFormatPr defaultRowHeight="14.5" x14ac:dyDescent="0.35"/>
  <cols>
    <col min="2" max="2" width="9.90625" bestFit="1" customWidth="1"/>
  </cols>
  <sheetData>
    <row r="1" spans="1:4" x14ac:dyDescent="0.35">
      <c r="A1" t="s">
        <v>152</v>
      </c>
      <c r="B1" t="s">
        <v>69</v>
      </c>
      <c r="C1" t="s">
        <v>153</v>
      </c>
      <c r="D1" t="s">
        <v>154</v>
      </c>
    </row>
    <row r="2" spans="1:4" x14ac:dyDescent="0.35">
      <c r="A2">
        <v>1</v>
      </c>
      <c r="C2" t="s">
        <v>211</v>
      </c>
    </row>
    <row r="3" spans="1:4" x14ac:dyDescent="0.35">
      <c r="A3">
        <v>2</v>
      </c>
      <c r="C3" t="s">
        <v>212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C70A-7141-410C-A004-FD3725F39D54}">
  <dimension ref="A1:C6"/>
  <sheetViews>
    <sheetView workbookViewId="0">
      <selection activeCell="A7" sqref="A7"/>
    </sheetView>
  </sheetViews>
  <sheetFormatPr defaultRowHeight="14.5" x14ac:dyDescent="0.35"/>
  <cols>
    <col min="1" max="1" width="10.453125" bestFit="1" customWidth="1"/>
    <col min="2" max="2" width="13.7265625" bestFit="1" customWidth="1"/>
    <col min="3" max="3" width="17.1796875" bestFit="1" customWidth="1"/>
  </cols>
  <sheetData>
    <row r="1" spans="1:3" x14ac:dyDescent="0.35">
      <c r="A1" t="s">
        <v>145</v>
      </c>
      <c r="B1" t="s">
        <v>148</v>
      </c>
      <c r="C1" t="s">
        <v>149</v>
      </c>
    </row>
    <row r="2" spans="1:3" x14ac:dyDescent="0.35">
      <c r="A2">
        <v>1</v>
      </c>
      <c r="B2" t="s">
        <v>176</v>
      </c>
    </row>
    <row r="3" spans="1:3" x14ac:dyDescent="0.35">
      <c r="A3">
        <v>2</v>
      </c>
      <c r="B3" t="s">
        <v>177</v>
      </c>
    </row>
    <row r="4" spans="1:3" x14ac:dyDescent="0.35">
      <c r="A4">
        <v>3</v>
      </c>
      <c r="B4" t="s">
        <v>178</v>
      </c>
    </row>
    <row r="5" spans="1:3" x14ac:dyDescent="0.35">
      <c r="A5">
        <v>4</v>
      </c>
      <c r="B5" t="s">
        <v>179</v>
      </c>
    </row>
    <row r="6" spans="1:3" x14ac:dyDescent="0.35">
      <c r="A6">
        <v>5</v>
      </c>
      <c r="B6" t="s">
        <v>180</v>
      </c>
      <c r="C6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23759-88AB-4354-BEE1-A921A63F70F1}">
  <dimension ref="A1:E11"/>
  <sheetViews>
    <sheetView workbookViewId="0">
      <selection activeCell="D14" sqref="D14"/>
    </sheetView>
  </sheetViews>
  <sheetFormatPr defaultRowHeight="14.5" x14ac:dyDescent="0.35"/>
  <cols>
    <col min="1" max="1" width="11.26953125" bestFit="1" customWidth="1"/>
    <col min="2" max="2" width="9.90625" bestFit="1" customWidth="1"/>
    <col min="4" max="4" width="17.90625" bestFit="1" customWidth="1"/>
    <col min="5" max="5" width="14.1796875" bestFit="1" customWidth="1"/>
  </cols>
  <sheetData>
    <row r="1" spans="1:5" x14ac:dyDescent="0.35">
      <c r="A1" t="s">
        <v>150</v>
      </c>
      <c r="B1" t="s">
        <v>69</v>
      </c>
      <c r="C1" t="s">
        <v>70</v>
      </c>
      <c r="D1" t="s">
        <v>151</v>
      </c>
      <c r="E1" t="s">
        <v>147</v>
      </c>
    </row>
    <row r="2" spans="1:5" x14ac:dyDescent="0.35">
      <c r="A2">
        <v>1</v>
      </c>
      <c r="B2">
        <v>1</v>
      </c>
      <c r="C2">
        <v>10</v>
      </c>
      <c r="D2" t="s">
        <v>117</v>
      </c>
      <c r="E2" s="7">
        <v>45624.390422916666</v>
      </c>
    </row>
    <row r="3" spans="1:5" x14ac:dyDescent="0.35">
      <c r="A3">
        <v>2</v>
      </c>
      <c r="B3">
        <v>2</v>
      </c>
      <c r="C3">
        <v>1</v>
      </c>
      <c r="D3" t="s">
        <v>120</v>
      </c>
      <c r="E3" s="7">
        <v>45624.390422916666</v>
      </c>
    </row>
    <row r="4" spans="1:5" x14ac:dyDescent="0.35">
      <c r="A4">
        <v>3</v>
      </c>
      <c r="B4">
        <v>3</v>
      </c>
      <c r="C4">
        <v>10</v>
      </c>
      <c r="D4" t="s">
        <v>123</v>
      </c>
      <c r="E4" s="7">
        <v>45624.390422916666</v>
      </c>
    </row>
    <row r="5" spans="1:5" x14ac:dyDescent="0.35">
      <c r="A5">
        <v>4</v>
      </c>
      <c r="B5">
        <v>4</v>
      </c>
      <c r="C5">
        <v>5</v>
      </c>
      <c r="D5" t="s">
        <v>124</v>
      </c>
      <c r="E5" s="7">
        <v>45624.390422916666</v>
      </c>
    </row>
    <row r="6" spans="1:5" x14ac:dyDescent="0.35">
      <c r="A6">
        <v>5</v>
      </c>
      <c r="B6">
        <v>5</v>
      </c>
      <c r="C6">
        <v>8</v>
      </c>
      <c r="D6" t="s">
        <v>122</v>
      </c>
      <c r="E6" s="7">
        <v>45624.390422916666</v>
      </c>
    </row>
    <row r="7" spans="1:5" x14ac:dyDescent="0.35">
      <c r="A7">
        <v>6</v>
      </c>
      <c r="B7">
        <v>6</v>
      </c>
      <c r="C7">
        <v>8</v>
      </c>
      <c r="D7" t="s">
        <v>121</v>
      </c>
      <c r="E7" s="7">
        <v>45624.390422916666</v>
      </c>
    </row>
    <row r="8" spans="1:5" x14ac:dyDescent="0.35">
      <c r="A8">
        <v>7</v>
      </c>
      <c r="B8">
        <v>7</v>
      </c>
      <c r="C8">
        <v>3</v>
      </c>
      <c r="D8" t="s">
        <v>117</v>
      </c>
      <c r="E8" s="7">
        <v>45624.390422916666</v>
      </c>
    </row>
    <row r="9" spans="1:5" x14ac:dyDescent="0.35">
      <c r="A9">
        <v>8</v>
      </c>
      <c r="B9">
        <v>8</v>
      </c>
      <c r="C9">
        <v>6</v>
      </c>
      <c r="D9" t="s">
        <v>122</v>
      </c>
      <c r="E9" s="7">
        <v>45624.390422916666</v>
      </c>
    </row>
    <row r="10" spans="1:5" x14ac:dyDescent="0.35">
      <c r="A10">
        <v>9</v>
      </c>
      <c r="B10">
        <v>9</v>
      </c>
      <c r="C10">
        <v>10</v>
      </c>
      <c r="D10" t="s">
        <v>123</v>
      </c>
      <c r="E10" s="7">
        <v>45624.390422916666</v>
      </c>
    </row>
    <row r="11" spans="1:5" x14ac:dyDescent="0.35">
      <c r="A11">
        <v>10</v>
      </c>
      <c r="B11">
        <v>10</v>
      </c>
      <c r="C11">
        <v>5</v>
      </c>
      <c r="D11" t="s">
        <v>122</v>
      </c>
      <c r="E11" s="7">
        <v>45624.390422916666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54ACA-FFF1-4E5B-B551-3B522720089D}">
  <dimension ref="A1:G11"/>
  <sheetViews>
    <sheetView workbookViewId="0">
      <selection activeCell="I5" sqref="I5"/>
    </sheetView>
  </sheetViews>
  <sheetFormatPr defaultRowHeight="14.5" x14ac:dyDescent="0.35"/>
  <cols>
    <col min="1" max="1" width="10.26953125" bestFit="1" customWidth="1"/>
    <col min="2" max="2" width="11.36328125" bestFit="1" customWidth="1"/>
    <col min="4" max="4" width="12.453125" bestFit="1" customWidth="1"/>
    <col min="7" max="7" width="10.08984375" bestFit="1" customWidth="1"/>
  </cols>
  <sheetData>
    <row r="1" spans="1:7" x14ac:dyDescent="0.35">
      <c r="A1" t="s">
        <v>155</v>
      </c>
      <c r="B1" t="s">
        <v>156</v>
      </c>
      <c r="C1" t="s">
        <v>157</v>
      </c>
      <c r="D1" t="s">
        <v>158</v>
      </c>
    </row>
    <row r="2" spans="1:7" x14ac:dyDescent="0.35">
      <c r="A2">
        <v>1</v>
      </c>
      <c r="B2">
        <v>1</v>
      </c>
      <c r="C2">
        <v>8500</v>
      </c>
      <c r="D2" s="3">
        <v>45479</v>
      </c>
      <c r="G2" s="3"/>
    </row>
    <row r="3" spans="1:7" x14ac:dyDescent="0.35">
      <c r="A3">
        <v>2</v>
      </c>
      <c r="B3">
        <v>2</v>
      </c>
      <c r="C3">
        <v>5200</v>
      </c>
      <c r="D3" s="3">
        <v>45522</v>
      </c>
      <c r="G3" s="3"/>
    </row>
    <row r="4" spans="1:7" x14ac:dyDescent="0.35">
      <c r="A4">
        <v>3</v>
      </c>
      <c r="B4">
        <v>3</v>
      </c>
      <c r="C4">
        <v>9750</v>
      </c>
      <c r="D4" s="3">
        <v>45617</v>
      </c>
      <c r="G4" s="3"/>
    </row>
    <row r="5" spans="1:7" x14ac:dyDescent="0.35">
      <c r="A5">
        <v>4</v>
      </c>
      <c r="B5">
        <v>4</v>
      </c>
      <c r="C5">
        <v>4500</v>
      </c>
      <c r="D5" s="3">
        <v>45349</v>
      </c>
      <c r="G5" s="3"/>
    </row>
    <row r="6" spans="1:7" x14ac:dyDescent="0.35">
      <c r="A6">
        <v>5</v>
      </c>
      <c r="B6">
        <v>5</v>
      </c>
      <c r="C6">
        <v>7919.9999999999991</v>
      </c>
      <c r="D6" s="3">
        <v>45403</v>
      </c>
      <c r="G6" s="3"/>
    </row>
    <row r="7" spans="1:7" x14ac:dyDescent="0.35">
      <c r="A7">
        <v>6</v>
      </c>
      <c r="B7">
        <v>6</v>
      </c>
      <c r="C7">
        <v>12800</v>
      </c>
      <c r="D7" s="3">
        <v>45622</v>
      </c>
      <c r="G7" s="3"/>
    </row>
    <row r="8" spans="1:7" x14ac:dyDescent="0.35">
      <c r="A8">
        <v>7</v>
      </c>
      <c r="B8">
        <v>7</v>
      </c>
      <c r="C8">
        <v>8330</v>
      </c>
      <c r="D8" s="3">
        <v>45687</v>
      </c>
      <c r="G8" s="3"/>
    </row>
    <row r="9" spans="1:7" x14ac:dyDescent="0.35">
      <c r="A9">
        <v>8</v>
      </c>
      <c r="B9">
        <v>8</v>
      </c>
      <c r="C9">
        <v>7260</v>
      </c>
      <c r="D9" s="3">
        <v>45701</v>
      </c>
      <c r="G9" s="3"/>
    </row>
    <row r="10" spans="1:7" x14ac:dyDescent="0.35">
      <c r="A10">
        <v>9</v>
      </c>
      <c r="B10">
        <v>9</v>
      </c>
      <c r="C10">
        <v>7920</v>
      </c>
      <c r="D10" s="3">
        <v>45741</v>
      </c>
      <c r="G10" s="3"/>
    </row>
    <row r="11" spans="1:7" x14ac:dyDescent="0.35">
      <c r="A11">
        <v>10</v>
      </c>
      <c r="B11">
        <v>10</v>
      </c>
      <c r="C11">
        <v>3570</v>
      </c>
      <c r="D11" s="3">
        <v>45769</v>
      </c>
      <c r="G11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6AE53-253B-4D6C-A4F9-06A58E70A391}">
  <dimension ref="A1:I11"/>
  <sheetViews>
    <sheetView workbookViewId="0">
      <selection activeCell="I2" sqref="I2:I11"/>
    </sheetView>
  </sheetViews>
  <sheetFormatPr defaultRowHeight="14.5" x14ac:dyDescent="0.35"/>
  <cols>
    <col min="1" max="1" width="11.36328125" bestFit="1" customWidth="1"/>
    <col min="2" max="2" width="22" bestFit="1" customWidth="1"/>
    <col min="3" max="4" width="10.08984375" bestFit="1" customWidth="1"/>
    <col min="6" max="6" width="14.36328125" bestFit="1" customWidth="1"/>
  </cols>
  <sheetData>
    <row r="1" spans="1:9" x14ac:dyDescent="0.35">
      <c r="A1" t="s">
        <v>156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</row>
    <row r="2" spans="1:9" x14ac:dyDescent="0.35">
      <c r="A2">
        <v>1</v>
      </c>
      <c r="B2" t="s">
        <v>191</v>
      </c>
      <c r="C2" s="3">
        <v>45458</v>
      </c>
      <c r="D2" s="3">
        <v>45488</v>
      </c>
      <c r="E2">
        <v>10000</v>
      </c>
      <c r="F2" t="s">
        <v>192</v>
      </c>
      <c r="I2">
        <f>D2-C2</f>
        <v>30</v>
      </c>
    </row>
    <row r="3" spans="1:9" x14ac:dyDescent="0.35">
      <c r="A3">
        <v>2</v>
      </c>
      <c r="B3" t="s">
        <v>193</v>
      </c>
      <c r="C3" s="3">
        <v>45505</v>
      </c>
      <c r="D3" s="3">
        <v>45536</v>
      </c>
      <c r="E3">
        <v>8000</v>
      </c>
      <c r="F3" t="s">
        <v>194</v>
      </c>
      <c r="I3">
        <f t="shared" ref="I3:I11" si="0">D3-C3</f>
        <v>31</v>
      </c>
    </row>
    <row r="4" spans="1:9" x14ac:dyDescent="0.35">
      <c r="A4">
        <v>3</v>
      </c>
      <c r="B4" t="s">
        <v>195</v>
      </c>
      <c r="C4" s="3">
        <v>45611</v>
      </c>
      <c r="D4" s="3">
        <v>45651</v>
      </c>
      <c r="E4">
        <v>15000</v>
      </c>
      <c r="F4" t="s">
        <v>196</v>
      </c>
      <c r="I4">
        <f t="shared" si="0"/>
        <v>40</v>
      </c>
    </row>
    <row r="5" spans="1:9" x14ac:dyDescent="0.35">
      <c r="A5">
        <v>4</v>
      </c>
      <c r="B5" t="s">
        <v>197</v>
      </c>
      <c r="C5" s="3">
        <v>45306</v>
      </c>
      <c r="D5" s="3">
        <v>45366</v>
      </c>
      <c r="E5">
        <v>5000</v>
      </c>
      <c r="F5" t="s">
        <v>198</v>
      </c>
      <c r="I5">
        <f t="shared" si="0"/>
        <v>60</v>
      </c>
    </row>
    <row r="6" spans="1:9" x14ac:dyDescent="0.35">
      <c r="A6">
        <v>5</v>
      </c>
      <c r="B6" t="s">
        <v>199</v>
      </c>
      <c r="C6" s="3">
        <v>45383</v>
      </c>
      <c r="D6" s="3">
        <v>45443</v>
      </c>
      <c r="E6">
        <v>12000</v>
      </c>
      <c r="F6" t="s">
        <v>200</v>
      </c>
      <c r="I6">
        <f t="shared" si="0"/>
        <v>60</v>
      </c>
    </row>
    <row r="7" spans="1:9" x14ac:dyDescent="0.35">
      <c r="A7">
        <v>6</v>
      </c>
      <c r="B7" t="s">
        <v>201</v>
      </c>
      <c r="C7" s="3">
        <v>45621</v>
      </c>
      <c r="D7" s="3">
        <v>45622</v>
      </c>
      <c r="E7">
        <v>20000</v>
      </c>
      <c r="F7" t="s">
        <v>202</v>
      </c>
      <c r="I7">
        <f t="shared" si="0"/>
        <v>1</v>
      </c>
    </row>
    <row r="8" spans="1:9" x14ac:dyDescent="0.35">
      <c r="A8">
        <v>7</v>
      </c>
      <c r="B8" t="s">
        <v>203</v>
      </c>
      <c r="C8" s="3">
        <v>45658</v>
      </c>
      <c r="D8" s="3">
        <v>45688</v>
      </c>
      <c r="E8">
        <v>7000</v>
      </c>
      <c r="F8" t="s">
        <v>204</v>
      </c>
      <c r="I8">
        <f t="shared" si="0"/>
        <v>30</v>
      </c>
    </row>
    <row r="9" spans="1:9" x14ac:dyDescent="0.35">
      <c r="A9">
        <v>8</v>
      </c>
      <c r="B9" t="s">
        <v>205</v>
      </c>
      <c r="C9" s="3">
        <v>45689</v>
      </c>
      <c r="D9" s="3">
        <v>45702</v>
      </c>
      <c r="E9">
        <v>6000</v>
      </c>
      <c r="F9" t="s">
        <v>206</v>
      </c>
      <c r="I9">
        <f t="shared" si="0"/>
        <v>13</v>
      </c>
    </row>
    <row r="10" spans="1:9" x14ac:dyDescent="0.35">
      <c r="A10">
        <v>9</v>
      </c>
      <c r="B10" t="s">
        <v>207</v>
      </c>
      <c r="C10" s="3">
        <v>45717</v>
      </c>
      <c r="D10" s="3">
        <v>45747</v>
      </c>
      <c r="E10">
        <v>9000</v>
      </c>
      <c r="F10" t="s">
        <v>208</v>
      </c>
      <c r="I10">
        <f t="shared" si="0"/>
        <v>30</v>
      </c>
    </row>
    <row r="11" spans="1:9" x14ac:dyDescent="0.35">
      <c r="A11">
        <v>10</v>
      </c>
      <c r="B11" t="s">
        <v>209</v>
      </c>
      <c r="C11" s="3">
        <v>45769</v>
      </c>
      <c r="D11" s="3">
        <v>45769</v>
      </c>
      <c r="E11">
        <v>3000</v>
      </c>
      <c r="F11" t="s">
        <v>210</v>
      </c>
      <c r="I11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Tables</vt:lpstr>
      <vt:lpstr>Metrics</vt:lpstr>
      <vt:lpstr>Orders</vt:lpstr>
      <vt:lpstr>Order_Items</vt:lpstr>
      <vt:lpstr>Customers</vt:lpstr>
      <vt:lpstr>Customer Acquisition Channels</vt:lpstr>
      <vt:lpstr>Products</vt:lpstr>
      <vt:lpstr>Product Availability Logs</vt:lpstr>
      <vt:lpstr>Product Categories</vt:lpstr>
      <vt:lpstr>Inventory</vt:lpstr>
      <vt:lpstr>Marketing Expenses</vt:lpstr>
      <vt:lpstr>Marketing Campaigns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Agung Atidhira</dc:creator>
  <cp:lastModifiedBy>Agung Atidhira</cp:lastModifiedBy>
  <dcterms:created xsi:type="dcterms:W3CDTF">2024-11-26T06:32:15Z</dcterms:created>
  <dcterms:modified xsi:type="dcterms:W3CDTF">2024-11-28T02:37:39Z</dcterms:modified>
</cp:coreProperties>
</file>